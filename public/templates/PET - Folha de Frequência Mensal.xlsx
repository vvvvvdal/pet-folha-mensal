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lha de Frequência" sheetId="1" state="visible" r:id="rId1"/>
    <sheet xmlns:r="http://schemas.openxmlformats.org/officeDocument/2006/relationships" name="Lançam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hh:mm"/>
    <numFmt numFmtId="166" formatCode="0&quot; h&quot;"/>
  </numFmts>
  <fonts count="14">
    <font>
      <name val="Carlito"/>
      <color rgb="FF000000"/>
      <sz val="11"/>
      <scheme val="minor"/>
    </font>
    <font>
      <name val="Calibri"/>
      <b val="1"/>
      <color theme="1"/>
      <sz val="14"/>
    </font>
    <font>
      <name val="Carlito"/>
      <b val="1"/>
      <color theme="1"/>
      <sz val="11"/>
    </font>
    <font>
      <name val="Carlito"/>
      <color theme="1"/>
    </font>
    <font>
      <name val="Calibri"/>
      <color theme="1"/>
      <sz val="11"/>
    </font>
    <font>
      <name val="Times New Roman"/>
      <color theme="1"/>
      <sz val="9"/>
    </font>
    <font>
      <name val="Times New Roman"/>
      <b val="1"/>
      <color theme="1"/>
      <sz val="20"/>
    </font>
    <font>
      <name val="Times New Roman"/>
      <color theme="1"/>
      <sz val="12"/>
    </font>
    <font>
      <name val="Carlito"/>
      <i val="1"/>
      <color theme="1"/>
      <sz val="10"/>
    </font>
    <font>
      <name val="Times New Roman"/>
      <b val="1"/>
      <color theme="1"/>
      <sz val="12"/>
    </font>
    <font>
      <name val="Times New Roman"/>
      <color theme="1"/>
      <sz val="8"/>
    </font>
    <font>
      <name val="Arial"/>
      <i val="1"/>
      <sz val="9"/>
    </font>
    <font>
      <name val="Arial"/>
      <b val="1"/>
      <sz val="11"/>
    </font>
    <font>
      <name val="Arial"/>
      <i val="1"/>
      <sz val="8"/>
    </font>
  </fonts>
  <fills count="4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F2F8"/>
        <bgColor rgb="FFEAF2F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165" fontId="4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164" fontId="7" fillId="0" borderId="1" applyAlignment="1" pivotButton="0" quotePrefix="0" xfId="0">
      <alignment horizontal="left" vertical="top" wrapText="1"/>
    </xf>
    <xf numFmtId="166" fontId="2" fillId="0" borderId="0" pivotButton="0" quotePrefix="0" xfId="0"/>
    <xf numFmtId="165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9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vertical="top" wrapText="1"/>
    </xf>
    <xf numFmtId="0" fontId="0" fillId="0" borderId="0" pivotButton="0" quotePrefix="0" xfId="0"/>
    <xf numFmtId="164" fontId="7" fillId="0" borderId="1" applyAlignment="1" pivotButton="0" quotePrefix="0" xfId="0">
      <alignment horizontal="left" vertical="top" wrapText="1"/>
    </xf>
    <xf numFmtId="165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2" pivotButton="0" quotePrefix="0" xfId="0"/>
    <xf numFmtId="0" fontId="13" fillId="0" borderId="0" pivotButton="0" quotePrefix="0" xfId="0"/>
    <xf numFmtId="164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0" fontId="11" fillId="0" borderId="0" pivotButton="0" quotePrefix="0" xfId="0"/>
    <xf numFmtId="166" fontId="12" fillId="0" borderId="0" applyAlignment="1" pivotButton="0" quotePrefix="0" xfId="0">
      <alignment horizontal="righ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476500" cy="68580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ColWidth="12.63" defaultRowHeight="15" customHeight="1"/>
  <cols>
    <col width="15" customWidth="1" style="26" min="1" max="1"/>
    <col width="13" customWidth="1" style="26" min="2" max="3"/>
    <col width="56" customWidth="1" style="26" min="4" max="4"/>
    <col width="25" customWidth="1" style="26" min="5" max="5"/>
    <col width="8.630000000000001" customWidth="1" style="26" min="6" max="6"/>
  </cols>
  <sheetData>
    <row r="1" ht="19.5" customHeight="1" s="26">
      <c r="A1" s="8" t="inlineStr">
        <is>
          <t>Ministério da Saúde
Secretaria de Gestão do Trabalho e da Educação na Saúde
Departamento de Gestão da Educação na Saúde</t>
        </is>
      </c>
      <c r="E1" s="8" t="inlineStr">
        <is>
          <t>Secretaria Municipal de Saúde de Goiânia
Secretaria Estadual de Saúde de Goiás
Universidade Federal de Goiás</t>
        </is>
      </c>
    </row>
    <row r="2" ht="19.5" customHeight="1" s="26"/>
    <row r="3" ht="19.5" customHeight="1" s="26"/>
    <row r="5" ht="27.75" customHeight="1" s="26">
      <c r="A5" s="9" t="inlineStr">
        <is>
          <t>Folha de Frequência Mensal*</t>
        </is>
      </c>
    </row>
    <row r="6" ht="21" customHeight="1" s="26">
      <c r="A6" s="10">
        <f>"Nome:  "&amp;'Lançamentos'!B3</f>
        <v/>
      </c>
    </row>
    <row r="7" ht="21" customHeight="1" s="26">
      <c r="A7" s="10">
        <f>"Perfil:  "&amp;'Lançamentos'!B4</f>
        <v/>
      </c>
      <c r="C7" s="12">
        <f>"Nº do GAT:  "&amp;'Lançamentos'!B5</f>
        <v/>
      </c>
      <c r="D7" s="14">
        <f>"Mês/ano:  "&amp;'Lançamentos'!B6</f>
        <v/>
      </c>
    </row>
    <row r="9" ht="33.75" customHeight="1" s="26">
      <c r="A9" s="16" t="inlineStr">
        <is>
          <t>Data</t>
        </is>
      </c>
      <c r="B9" s="16" t="inlineStr">
        <is>
          <t>Horário de
Chegada</t>
        </is>
      </c>
      <c r="C9" s="16" t="inlineStr">
        <is>
          <t>Horário de
Saída</t>
        </is>
      </c>
      <c r="D9" s="16" t="inlineStr">
        <is>
          <t>Atividade</t>
        </is>
      </c>
      <c r="E9" s="16" t="inlineStr">
        <is>
          <t>Assinatura</t>
        </is>
      </c>
    </row>
    <row r="10" ht="28.5" customHeight="1" s="26">
      <c r="A10" s="27">
        <f>IF('Lançamentos'!A9="","",'Lançamentos'!A9)</f>
        <v/>
      </c>
      <c r="B10" s="28">
        <f>IF('Lançamentos'!B9="","",'Lançamentos'!B9)</f>
        <v/>
      </c>
      <c r="C10" s="29">
        <f>IF(OR('Lançamentos'!B9="",'Lançamentos'!C9=""),"",TEXT('Lançamentos'!C9,"hh:mm")&amp;" ("&amp;'Lançamentos'!F9&amp;"h)")</f>
        <v/>
      </c>
      <c r="D10" s="30">
        <f>IF('Lançamentos'!D9="","",'Lançamentos'!D9)</f>
        <v/>
      </c>
      <c r="E10" s="30">
        <f>IF('Lançamentos'!E9="","",'Lançamentos'!E9)</f>
        <v/>
      </c>
    </row>
    <row r="11" ht="39.75" customHeight="1" s="26">
      <c r="A11" s="27">
        <f>IF('Lançamentos'!A10="","",'Lançamentos'!A10)</f>
        <v/>
      </c>
      <c r="B11" s="28">
        <f>IF('Lançamentos'!B10="","",'Lançamentos'!B10)</f>
        <v/>
      </c>
      <c r="C11" s="29">
        <f>IF(OR('Lançamentos'!B10="",'Lançamentos'!C10=""),"",TEXT('Lançamentos'!C10,"hh:mm")&amp;" ("&amp;'Lançamentos'!F10&amp;"h)")</f>
        <v/>
      </c>
      <c r="D11" s="30">
        <f>IF('Lançamentos'!D10="","",'Lançamentos'!D10)</f>
        <v/>
      </c>
      <c r="E11" s="30">
        <f>IF('Lançamentos'!E10="","",'Lançamentos'!E10)</f>
        <v/>
      </c>
    </row>
    <row r="12" ht="28.5" customHeight="1" s="26">
      <c r="A12" s="27">
        <f>IF('Lançamentos'!A11="","",'Lançamentos'!A11)</f>
        <v/>
      </c>
      <c r="B12" s="28">
        <f>IF('Lançamentos'!B11="","",'Lançamentos'!B11)</f>
        <v/>
      </c>
      <c r="C12" s="29">
        <f>IF(OR('Lançamentos'!B11="",'Lançamentos'!C11=""),"",TEXT('Lançamentos'!C11,"hh:mm")&amp;" ("&amp;'Lançamentos'!F11&amp;"h)")</f>
        <v/>
      </c>
      <c r="D12" s="30">
        <f>IF('Lançamentos'!D11="","",'Lançamentos'!D11)</f>
        <v/>
      </c>
      <c r="E12" s="30">
        <f>IF('Lançamentos'!E11="","",'Lançamentos'!E11)</f>
        <v/>
      </c>
    </row>
    <row r="13" ht="28.5" customHeight="1" s="26">
      <c r="A13" s="27">
        <f>IF('Lançamentos'!A12="","",'Lançamentos'!A12)</f>
        <v/>
      </c>
      <c r="B13" s="28">
        <f>IF('Lançamentos'!B12="","",'Lançamentos'!B12)</f>
        <v/>
      </c>
      <c r="C13" s="29">
        <f>IF(OR('Lançamentos'!B12="",'Lançamentos'!C12=""),"",TEXT('Lançamentos'!C12,"hh:mm")&amp;" ("&amp;'Lançamentos'!F12&amp;"h)")</f>
        <v/>
      </c>
      <c r="D13" s="30">
        <f>IF('Lançamentos'!D12="","",'Lançamentos'!D12)</f>
        <v/>
      </c>
      <c r="E13" s="30">
        <f>IF('Lançamentos'!E12="","",'Lançamentos'!E12)</f>
        <v/>
      </c>
    </row>
    <row r="14" ht="28.5" customHeight="1" s="26">
      <c r="A14" s="27">
        <f>IF('Lançamentos'!A13="","",'Lançamentos'!A13)</f>
        <v/>
      </c>
      <c r="B14" s="28">
        <f>IF('Lançamentos'!B13="","",'Lançamentos'!B13)</f>
        <v/>
      </c>
      <c r="C14" s="29">
        <f>IF(OR('Lançamentos'!B13="",'Lançamentos'!C13=""),"",TEXT('Lançamentos'!C13,"hh:mm")&amp;" ("&amp;'Lançamentos'!F13&amp;"h)")</f>
        <v/>
      </c>
      <c r="D14" s="30">
        <f>IF('Lançamentos'!D13="","",'Lançamentos'!D13)</f>
        <v/>
      </c>
      <c r="E14" s="30">
        <f>IF('Lançamentos'!E13="","",'Lançamentos'!E13)</f>
        <v/>
      </c>
    </row>
    <row r="15" ht="28.5" customHeight="1" s="26">
      <c r="A15" s="27">
        <f>IF('Lançamentos'!A14="","",'Lançamentos'!A14)</f>
        <v/>
      </c>
      <c r="B15" s="28">
        <f>IF('Lançamentos'!B14="","",'Lançamentos'!B14)</f>
        <v/>
      </c>
      <c r="C15" s="29">
        <f>IF(OR('Lançamentos'!B14="",'Lançamentos'!C14=""),"",TEXT('Lançamentos'!C14,"hh:mm")&amp;" ("&amp;'Lançamentos'!F14&amp;"h)")</f>
        <v/>
      </c>
      <c r="D15" s="30">
        <f>IF('Lançamentos'!D14="","",'Lançamentos'!D14)</f>
        <v/>
      </c>
      <c r="E15" s="30">
        <f>IF('Lançamentos'!E14="","",'Lançamentos'!E14)</f>
        <v/>
      </c>
    </row>
    <row r="16" ht="28.5" customHeight="1" s="26">
      <c r="A16" s="27">
        <f>IF('Lançamentos'!A15="","",'Lançamentos'!A15)</f>
        <v/>
      </c>
      <c r="B16" s="28">
        <f>IF('Lançamentos'!B15="","",'Lançamentos'!B15)</f>
        <v/>
      </c>
      <c r="C16" s="29">
        <f>IF(OR('Lançamentos'!B15="",'Lançamentos'!C15=""),"",TEXT('Lançamentos'!C15,"hh:mm")&amp;" ("&amp;'Lançamentos'!F15&amp;"h)")</f>
        <v/>
      </c>
      <c r="D16" s="30">
        <f>IF('Lançamentos'!D15="","",'Lançamentos'!D15)</f>
        <v/>
      </c>
      <c r="E16" s="30">
        <f>IF('Lançamentos'!E15="","",'Lançamentos'!E15)</f>
        <v/>
      </c>
    </row>
    <row r="17">
      <c r="A17" s="27">
        <f>IF('Lançamentos'!A16="","",'Lançamentos'!A16)</f>
        <v/>
      </c>
      <c r="B17" s="28">
        <f>IF('Lançamentos'!B16="","",'Lançamentos'!B16)</f>
        <v/>
      </c>
      <c r="C17" s="29">
        <f>IF(OR('Lançamentos'!B16="",'Lançamentos'!C16=""),"",TEXT('Lançamentos'!C16,"hh:mm")&amp;" ("&amp;'Lançamentos'!F16&amp;"h)")</f>
        <v/>
      </c>
      <c r="D17" s="30">
        <f>IF('Lançamentos'!D16="","",'Lançamentos'!D16)</f>
        <v/>
      </c>
      <c r="E17" s="30">
        <f>IF('Lançamentos'!E16="","",'Lançamentos'!E16)</f>
        <v/>
      </c>
    </row>
    <row r="18" ht="21.75" customHeight="1" s="26">
      <c r="A18" s="27">
        <f>IF('Lançamentos'!A17="","",'Lançamentos'!A17)</f>
        <v/>
      </c>
      <c r="B18" s="28">
        <f>IF('Lançamentos'!B17="","",'Lançamentos'!B17)</f>
        <v/>
      </c>
      <c r="C18" s="29">
        <f>IF(OR('Lançamentos'!B17="",'Lançamentos'!C17=""),"",TEXT('Lançamentos'!C17,"hh:mm")&amp;" ("&amp;'Lançamentos'!F17&amp;"h)")</f>
        <v/>
      </c>
      <c r="D18" s="30">
        <f>IF('Lançamentos'!D17="","",'Lançamentos'!D17)</f>
        <v/>
      </c>
      <c r="E18" s="30">
        <f>IF('Lançamentos'!E17="","",'Lançamentos'!E17)</f>
        <v/>
      </c>
    </row>
    <row r="19">
      <c r="A19" s="27">
        <f>IF('Lançamentos'!A18="","",'Lançamentos'!A18)</f>
        <v/>
      </c>
      <c r="B19" s="28">
        <f>IF('Lançamentos'!B18="","",'Lançamentos'!B18)</f>
        <v/>
      </c>
      <c r="C19" s="29">
        <f>IF(OR('Lançamentos'!B18="",'Lançamentos'!C18=""),"",TEXT('Lançamentos'!C18,"hh:mm")&amp;" ("&amp;'Lançamentos'!F18&amp;"h)")</f>
        <v/>
      </c>
      <c r="D19" s="30">
        <f>IF('Lançamentos'!D18="","",'Lançamentos'!D18)</f>
        <v/>
      </c>
      <c r="E19" s="30">
        <f>IF('Lançamentos'!E18="","",'Lançamentos'!E18)</f>
        <v/>
      </c>
    </row>
    <row r="20">
      <c r="A20" s="27">
        <f>IF('Lançamentos'!A19="","",'Lançamentos'!A19)</f>
        <v/>
      </c>
      <c r="B20" s="28">
        <f>IF('Lançamentos'!B19="","",'Lançamentos'!B19)</f>
        <v/>
      </c>
      <c r="C20" s="29">
        <f>IF(OR('Lançamentos'!B19="",'Lançamentos'!C19=""),"",TEXT('Lançamentos'!C19,"hh:mm")&amp;" ("&amp;'Lançamentos'!F19&amp;"h)")</f>
        <v/>
      </c>
      <c r="D20" s="30">
        <f>IF('Lançamentos'!D19="","",'Lançamentos'!D19)</f>
        <v/>
      </c>
      <c r="E20" s="30">
        <f>IF('Lançamentos'!E19="","",'Lançamentos'!E19)</f>
        <v/>
      </c>
    </row>
    <row r="21" ht="15.75" customHeight="1" s="26">
      <c r="A21" s="27">
        <f>IF('Lançamentos'!A20="","",'Lançamentos'!A20)</f>
        <v/>
      </c>
      <c r="B21" s="28">
        <f>IF('Lançamentos'!B20="","",'Lançamentos'!B20)</f>
        <v/>
      </c>
      <c r="C21" s="29">
        <f>IF(OR('Lançamentos'!B20="",'Lançamentos'!C20=""),"",TEXT('Lançamentos'!C20,"hh:mm")&amp;" ("&amp;'Lançamentos'!F20&amp;"h)")</f>
        <v/>
      </c>
      <c r="D21" s="30">
        <f>IF('Lançamentos'!D20="","",'Lançamentos'!D20)</f>
        <v/>
      </c>
      <c r="E21" s="30">
        <f>IF('Lançamentos'!E20="","",'Lançamentos'!E20)</f>
        <v/>
      </c>
    </row>
    <row r="22" ht="15.75" customHeight="1" s="26">
      <c r="A22" s="27">
        <f>IF('Lançamentos'!A21="","",'Lançamentos'!A21)</f>
        <v/>
      </c>
      <c r="B22" s="28">
        <f>IF('Lançamentos'!B21="","",'Lançamentos'!B21)</f>
        <v/>
      </c>
      <c r="C22" s="29">
        <f>IF(OR('Lançamentos'!B21="",'Lançamentos'!C21=""),"",TEXT('Lançamentos'!C21,"hh:mm")&amp;" ("&amp;'Lançamentos'!F21&amp;"h)")</f>
        <v/>
      </c>
      <c r="D22" s="30">
        <f>IF('Lançamentos'!D21="","",'Lançamentos'!D21)</f>
        <v/>
      </c>
      <c r="E22" s="30">
        <f>IF('Lançamentos'!E21="","",'Lançamentos'!E21)</f>
        <v/>
      </c>
    </row>
    <row r="23" ht="15.75" customHeight="1" s="26">
      <c r="A23" s="27">
        <f>IF('Lançamentos'!A22="","",'Lançamentos'!A22)</f>
        <v/>
      </c>
      <c r="B23" s="28">
        <f>IF('Lançamentos'!B22="","",'Lançamentos'!B22)</f>
        <v/>
      </c>
      <c r="C23" s="29">
        <f>IF(OR('Lançamentos'!B22="",'Lançamentos'!C22=""),"",TEXT('Lançamentos'!C22,"hh:mm")&amp;" ("&amp;'Lançamentos'!F22&amp;"h)")</f>
        <v/>
      </c>
      <c r="D23" s="30">
        <f>IF('Lançamentos'!D22="","",'Lançamentos'!D22)</f>
        <v/>
      </c>
      <c r="E23" s="30">
        <f>IF('Lançamentos'!E22="","",'Lançamentos'!E22)</f>
        <v/>
      </c>
    </row>
    <row r="24" ht="24" customHeight="1" s="26">
      <c r="A24" s="27">
        <f>IF('Lançamentos'!A23="","",'Lançamentos'!A23)</f>
        <v/>
      </c>
      <c r="B24" s="28">
        <f>IF('Lançamentos'!B23="","",'Lançamentos'!B23)</f>
        <v/>
      </c>
      <c r="C24" s="29">
        <f>IF(OR('Lançamentos'!B23="",'Lançamentos'!C23=""),"",TEXT('Lançamentos'!C23,"hh:mm")&amp;" ("&amp;'Lançamentos'!F23&amp;"h)")</f>
        <v/>
      </c>
      <c r="D24" s="30">
        <f>IF('Lançamentos'!D23="","",'Lançamentos'!D23)</f>
        <v/>
      </c>
      <c r="E24" s="30">
        <f>IF('Lançamentos'!E23="","",'Lançamentos'!E23)</f>
        <v/>
      </c>
    </row>
    <row r="25" ht="24" customHeight="1" s="26">
      <c r="A25" s="27">
        <f>IF('Lançamentos'!A24="","",'Lançamentos'!A24)</f>
        <v/>
      </c>
      <c r="B25" s="28">
        <f>IF('Lançamentos'!B24="","",'Lançamentos'!B24)</f>
        <v/>
      </c>
      <c r="C25" s="29">
        <f>IF(OR('Lançamentos'!B24="",'Lançamentos'!C24=""),"",TEXT('Lançamentos'!C24,"hh:mm")&amp;" ("&amp;'Lançamentos'!F24&amp;"h)")</f>
        <v/>
      </c>
      <c r="D25" s="30">
        <f>IF('Lançamentos'!D24="","",'Lançamentos'!D24)</f>
        <v/>
      </c>
      <c r="E25" s="30">
        <f>IF('Lançamentos'!E24="","",'Lançamentos'!E24)</f>
        <v/>
      </c>
    </row>
    <row r="26" ht="15.75" customHeight="1" s="26">
      <c r="A26" s="27">
        <f>IF('Lançamentos'!A25="","",'Lançamentos'!A25)</f>
        <v/>
      </c>
      <c r="B26" s="28">
        <f>IF('Lançamentos'!B25="","",'Lançamentos'!B25)</f>
        <v/>
      </c>
      <c r="C26" s="29">
        <f>IF(OR('Lançamentos'!B25="",'Lançamentos'!C25=""),"",TEXT('Lançamentos'!C25,"hh:mm")&amp;" ("&amp;'Lançamentos'!F25&amp;"h)")</f>
        <v/>
      </c>
      <c r="D26" s="30">
        <f>IF('Lançamentos'!D25="","",'Lançamentos'!D25)</f>
        <v/>
      </c>
      <c r="E26" s="30">
        <f>IF('Lançamentos'!E25="","",'Lançamentos'!E25)</f>
        <v/>
      </c>
    </row>
    <row r="27" ht="15.75" customHeight="1" s="26">
      <c r="A27" s="27">
        <f>IF('Lançamentos'!A26="","",'Lançamentos'!A26)</f>
        <v/>
      </c>
      <c r="B27" s="28">
        <f>IF('Lançamentos'!B26="","",'Lançamentos'!B26)</f>
        <v/>
      </c>
      <c r="C27" s="29">
        <f>IF(OR('Lançamentos'!B26="",'Lançamentos'!C26=""),"",TEXT('Lançamentos'!C26,"hh:mm")&amp;" ("&amp;'Lançamentos'!F26&amp;"h)")</f>
        <v/>
      </c>
      <c r="D27" s="30">
        <f>IF('Lançamentos'!D26="","",'Lançamentos'!D26)</f>
        <v/>
      </c>
      <c r="E27" s="30">
        <f>IF('Lançamentos'!E26="","",'Lançamentos'!E26)</f>
        <v/>
      </c>
    </row>
    <row r="28" ht="15.75" customHeight="1" s="26">
      <c r="A28" s="27">
        <f>IF('Lançamentos'!A27="","",'Lançamentos'!A27)</f>
        <v/>
      </c>
      <c r="B28" s="28">
        <f>IF('Lançamentos'!B27="","",'Lançamentos'!B27)</f>
        <v/>
      </c>
      <c r="C28" s="29">
        <f>IF(OR('Lançamentos'!B27="",'Lançamentos'!C27=""),"",TEXT('Lançamentos'!C27,"hh:mm")&amp;" ("&amp;'Lançamentos'!F27&amp;"h)")</f>
        <v/>
      </c>
      <c r="D28" s="30">
        <f>IF('Lançamentos'!D27="","",'Lançamentos'!D27)</f>
        <v/>
      </c>
      <c r="E28" s="30">
        <f>IF('Lançamentos'!E27="","",'Lançamentos'!E27)</f>
        <v/>
      </c>
    </row>
    <row r="29" ht="15.75" customHeight="1" s="26">
      <c r="A29" s="27">
        <f>IF('Lançamentos'!A28="","",'Lançamentos'!A28)</f>
        <v/>
      </c>
      <c r="B29" s="28">
        <f>IF('Lançamentos'!B28="","",'Lançamentos'!B28)</f>
        <v/>
      </c>
      <c r="C29" s="29">
        <f>IF(OR('Lançamentos'!B28="",'Lançamentos'!C28=""),"",TEXT('Lançamentos'!C28,"hh:mm")&amp;" ("&amp;'Lançamentos'!F28&amp;"h)")</f>
        <v/>
      </c>
      <c r="D29" s="30">
        <f>IF('Lançamentos'!D28="","",'Lançamentos'!D28)</f>
        <v/>
      </c>
      <c r="E29" s="30">
        <f>IF('Lançamentos'!E28="","",'Lançamentos'!E28)</f>
        <v/>
      </c>
    </row>
    <row r="30" ht="15.75" customHeight="1" s="26">
      <c r="A30" s="27">
        <f>IF('Lançamentos'!A29="","",'Lançamentos'!A29)</f>
        <v/>
      </c>
      <c r="B30" s="28">
        <f>IF('Lançamentos'!B29="","",'Lançamentos'!B29)</f>
        <v/>
      </c>
      <c r="C30" s="29">
        <f>IF(OR('Lançamentos'!B29="",'Lançamentos'!C29=""),"",TEXT('Lançamentos'!C29,"hh:mm")&amp;" ("&amp;'Lançamentos'!F29&amp;"h)")</f>
        <v/>
      </c>
      <c r="D30" s="30">
        <f>IF('Lançamentos'!D29="","",'Lançamentos'!D29)</f>
        <v/>
      </c>
      <c r="E30" s="30">
        <f>IF('Lançamentos'!E29="","",'Lançamentos'!E29)</f>
        <v/>
      </c>
    </row>
    <row r="31" ht="15.75" customHeight="1" s="26">
      <c r="A31" s="27">
        <f>IF('Lançamentos'!A30="","",'Lançamentos'!A30)</f>
        <v/>
      </c>
      <c r="B31" s="28">
        <f>IF('Lançamentos'!B30="","",'Lançamentos'!B30)</f>
        <v/>
      </c>
      <c r="C31" s="29">
        <f>IF(OR('Lançamentos'!B30="",'Lançamentos'!C30=""),"",TEXT('Lançamentos'!C30,"hh:mm")&amp;" ("&amp;'Lançamentos'!F30&amp;"h)")</f>
        <v/>
      </c>
      <c r="D31" s="30">
        <f>IF('Lançamentos'!D30="","",'Lançamentos'!D30)</f>
        <v/>
      </c>
      <c r="E31" s="30">
        <f>IF('Lançamentos'!E30="","",'Lançamentos'!E30)</f>
        <v/>
      </c>
    </row>
    <row r="32" ht="15.75" customHeight="1" s="26">
      <c r="A32" s="27">
        <f>IF('Lançamentos'!A31="","",'Lançamentos'!A31)</f>
        <v/>
      </c>
      <c r="B32" s="28">
        <f>IF('Lançamentos'!B31="","",'Lançamentos'!B31)</f>
        <v/>
      </c>
      <c r="C32" s="29">
        <f>IF(OR('Lançamentos'!B31="",'Lançamentos'!C31=""),"",TEXT('Lançamentos'!C31,"hh:mm")&amp;" ("&amp;'Lançamentos'!F31&amp;"h)")</f>
        <v/>
      </c>
      <c r="D32" s="30">
        <f>IF('Lançamentos'!D31="","",'Lançamentos'!D31)</f>
        <v/>
      </c>
      <c r="E32" s="30">
        <f>IF('Lançamentos'!E31="","",'Lançamentos'!E31)</f>
        <v/>
      </c>
    </row>
    <row r="33" ht="15.75" customHeight="1" s="26">
      <c r="A33" s="27">
        <f>IF('Lançamentos'!A32="","",'Lançamentos'!A32)</f>
        <v/>
      </c>
      <c r="B33" s="28">
        <f>IF('Lançamentos'!B32="","",'Lançamentos'!B32)</f>
        <v/>
      </c>
      <c r="C33" s="29">
        <f>IF(OR('Lançamentos'!B32="",'Lançamentos'!C32=""),"",TEXT('Lançamentos'!C32,"hh:mm")&amp;" ("&amp;'Lançamentos'!F32&amp;"h)")</f>
        <v/>
      </c>
      <c r="D33" s="30">
        <f>IF('Lançamentos'!D32="","",'Lançamentos'!D32)</f>
        <v/>
      </c>
      <c r="E33" s="30">
        <f>IF('Lançamentos'!E32="","",'Lançamentos'!E32)</f>
        <v/>
      </c>
    </row>
    <row r="34" ht="15.75" customHeight="1" s="26">
      <c r="A34" s="27">
        <f>IF('Lançamentos'!A33="","",'Lançamentos'!A33)</f>
        <v/>
      </c>
      <c r="B34" s="28">
        <f>IF('Lançamentos'!B33="","",'Lançamentos'!B33)</f>
        <v/>
      </c>
      <c r="C34" s="29">
        <f>IF(OR('Lançamentos'!B33="",'Lançamentos'!C33=""),"",TEXT('Lançamentos'!C33,"hh:mm")&amp;" ("&amp;'Lançamentos'!F33&amp;"h)")</f>
        <v/>
      </c>
      <c r="D34" s="30">
        <f>IF('Lançamentos'!D33="","",'Lançamentos'!D33)</f>
        <v/>
      </c>
      <c r="E34" s="30">
        <f>IF('Lançamentos'!E33="","",'Lançamentos'!E33)</f>
        <v/>
      </c>
    </row>
    <row r="35" ht="15.75" customHeight="1" s="26">
      <c r="A35" s="27">
        <f>IF('Lançamentos'!A34="","",'Lançamentos'!A34)</f>
        <v/>
      </c>
      <c r="B35" s="28">
        <f>IF('Lançamentos'!B34="","",'Lançamentos'!B34)</f>
        <v/>
      </c>
      <c r="C35" s="29">
        <f>IF(OR('Lançamentos'!B34="",'Lançamentos'!C34=""),"",TEXT('Lançamentos'!C34,"hh:mm")&amp;" ("&amp;'Lançamentos'!F34&amp;"h)")</f>
        <v/>
      </c>
      <c r="D35" s="30">
        <f>IF('Lançamentos'!D34="","",'Lançamentos'!D34)</f>
        <v/>
      </c>
      <c r="E35" s="30">
        <f>IF('Lançamentos'!E34="","",'Lançamentos'!E34)</f>
        <v/>
      </c>
    </row>
    <row r="36" ht="15.75" customHeight="1" s="26">
      <c r="A36" s="27">
        <f>IF('Lançamentos'!A35="","",'Lançamentos'!A35)</f>
        <v/>
      </c>
      <c r="B36" s="28">
        <f>IF('Lançamentos'!B35="","",'Lançamentos'!B35)</f>
        <v/>
      </c>
      <c r="C36" s="29">
        <f>IF(OR('Lançamentos'!B35="",'Lançamentos'!C35=""),"",TEXT('Lançamentos'!C35,"hh:mm")&amp;" ("&amp;'Lançamentos'!F35&amp;"h)")</f>
        <v/>
      </c>
      <c r="D36" s="30">
        <f>IF('Lançamentos'!D35="","",'Lançamentos'!D35)</f>
        <v/>
      </c>
      <c r="E36" s="30">
        <f>IF('Lançamentos'!E35="","",'Lançamentos'!E35)</f>
        <v/>
      </c>
    </row>
    <row r="37" ht="15.75" customHeight="1" s="26">
      <c r="A37" s="27">
        <f>IF('Lançamentos'!A36="","",'Lançamentos'!A36)</f>
        <v/>
      </c>
      <c r="B37" s="28">
        <f>IF('Lançamentos'!B36="","",'Lançamentos'!B36)</f>
        <v/>
      </c>
      <c r="C37" s="29">
        <f>IF(OR('Lançamentos'!B36="",'Lançamentos'!C36=""),"",TEXT('Lançamentos'!C36,"hh:mm")&amp;" ("&amp;'Lançamentos'!F36&amp;"h)")</f>
        <v/>
      </c>
      <c r="D37" s="30">
        <f>IF('Lançamentos'!D36="","",'Lançamentos'!D36)</f>
        <v/>
      </c>
      <c r="E37" s="30">
        <f>IF('Lançamentos'!E36="","",'Lançamentos'!E36)</f>
        <v/>
      </c>
    </row>
    <row r="38" ht="15.75" customHeight="1" s="26">
      <c r="A38" s="27">
        <f>IF('Lançamentos'!A37="","",'Lançamentos'!A37)</f>
        <v/>
      </c>
      <c r="B38" s="28">
        <f>IF('Lançamentos'!B37="","",'Lançamentos'!B37)</f>
        <v/>
      </c>
      <c r="C38" s="29">
        <f>IF(OR('Lançamentos'!B37="",'Lançamentos'!C37=""),"",TEXT('Lançamentos'!C37,"hh:mm")&amp;" ("&amp;'Lançamentos'!F37&amp;"h)")</f>
        <v/>
      </c>
      <c r="D38" s="30">
        <f>IF('Lançamentos'!D37="","",'Lançamentos'!D37)</f>
        <v/>
      </c>
      <c r="E38" s="30">
        <f>IF('Lançamentos'!E37="","",'Lançamentos'!E37)</f>
        <v/>
      </c>
    </row>
    <row r="39" ht="15.75" customHeight="1" s="26">
      <c r="A39" s="27">
        <f>IF('Lançamentos'!A38="","",'Lançamentos'!A38)</f>
        <v/>
      </c>
      <c r="B39" s="28">
        <f>IF('Lançamentos'!B38="","",'Lançamentos'!B38)</f>
        <v/>
      </c>
      <c r="C39" s="29">
        <f>IF(OR('Lançamentos'!B38="",'Lançamentos'!C38=""),"",TEXT('Lançamentos'!C38,"hh:mm")&amp;" ("&amp;'Lançamentos'!F38&amp;"h)")</f>
        <v/>
      </c>
      <c r="D39" s="30">
        <f>IF('Lançamentos'!D38="","",'Lançamentos'!D38)</f>
        <v/>
      </c>
      <c r="E39" s="30">
        <f>IF('Lançamentos'!E38="","",'Lançamentos'!E38)</f>
        <v/>
      </c>
    </row>
    <row r="40" ht="15.75" customHeight="1" s="26">
      <c r="A40" s="27">
        <f>IF('Lançamentos'!A39="","",'Lançamentos'!A39)</f>
        <v/>
      </c>
      <c r="B40" s="28">
        <f>IF('Lançamentos'!B39="","",'Lançamentos'!B39)</f>
        <v/>
      </c>
      <c r="C40" s="29">
        <f>IF(OR('Lançamentos'!B39="",'Lançamentos'!C39=""),"",TEXT('Lançamentos'!C39,"hh:mm")&amp;" ("&amp;'Lançamentos'!F39&amp;"h)")</f>
        <v/>
      </c>
      <c r="D40" s="30">
        <f>IF('Lançamentos'!D39="","",'Lançamentos'!D39)</f>
        <v/>
      </c>
      <c r="E40" s="30">
        <f>IF('Lançamentos'!E39="","",'Lançamentos'!E39)</f>
        <v/>
      </c>
    </row>
    <row r="41" ht="15.75" customHeight="1" s="26">
      <c r="A41" s="27">
        <f>IF('Lançamentos'!A40="","",'Lançamentos'!A40)</f>
        <v/>
      </c>
      <c r="B41" s="28">
        <f>IF('Lançamentos'!B40="","",'Lançamentos'!B40)</f>
        <v/>
      </c>
      <c r="C41" s="29">
        <f>IF(OR('Lançamentos'!B40="",'Lançamentos'!C40=""),"",TEXT('Lançamentos'!C40,"hh:mm")&amp;" ("&amp;'Lançamentos'!F40&amp;"h)")</f>
        <v/>
      </c>
      <c r="D41" s="30">
        <f>IF('Lançamentos'!D40="","",'Lançamentos'!D40)</f>
        <v/>
      </c>
      <c r="E41" s="30">
        <f>IF('Lançamentos'!E40="","",'Lançamentos'!E40)</f>
        <v/>
      </c>
    </row>
    <row r="42" ht="15.75" customHeight="1" s="26">
      <c r="A42" s="27">
        <f>IF('Lançamentos'!A41="","",'Lançamentos'!A41)</f>
        <v/>
      </c>
      <c r="B42" s="28">
        <f>IF('Lançamentos'!B41="","",'Lançamentos'!B41)</f>
        <v/>
      </c>
      <c r="C42" s="29">
        <f>IF(OR('Lançamentos'!B41="",'Lançamentos'!C41=""),"",TEXT('Lançamentos'!C41,"hh:mm")&amp;" ("&amp;'Lançamentos'!F41&amp;"h)")</f>
        <v/>
      </c>
      <c r="D42" s="30">
        <f>IF('Lançamentos'!D41="","",'Lançamentos'!D41)</f>
        <v/>
      </c>
      <c r="E42" s="30">
        <f>IF('Lançamentos'!E41="","",'Lançamentos'!E41)</f>
        <v/>
      </c>
    </row>
    <row r="43" ht="15.75" customHeight="1" s="26">
      <c r="A43" s="27">
        <f>IF('Lançamentos'!A42="","",'Lançamentos'!A42)</f>
        <v/>
      </c>
      <c r="B43" s="28">
        <f>IF('Lançamentos'!B42="","",'Lançamentos'!B42)</f>
        <v/>
      </c>
      <c r="C43" s="29">
        <f>IF(OR('Lançamentos'!B42="",'Lançamentos'!C42=""),"",TEXT('Lançamentos'!C42,"hh:mm")&amp;" ("&amp;'Lançamentos'!F42&amp;"h)")</f>
        <v/>
      </c>
      <c r="D43" s="30">
        <f>IF('Lançamentos'!D42="","",'Lançamentos'!D42)</f>
        <v/>
      </c>
      <c r="E43" s="30">
        <f>IF('Lançamentos'!E42="","",'Lançamentos'!E42)</f>
        <v/>
      </c>
    </row>
    <row r="44" ht="15.75" customHeight="1" s="26">
      <c r="A44" s="27">
        <f>IF('Lançamentos'!A43="","",'Lançamentos'!A43)</f>
        <v/>
      </c>
      <c r="B44" s="28">
        <f>IF('Lançamentos'!B43="","",'Lançamentos'!B43)</f>
        <v/>
      </c>
      <c r="C44" s="29">
        <f>IF(OR('Lançamentos'!B43="",'Lançamentos'!C43=""),"",TEXT('Lançamentos'!C43,"hh:mm")&amp;" ("&amp;'Lançamentos'!F43&amp;"h)")</f>
        <v/>
      </c>
      <c r="D44" s="30">
        <f>IF('Lançamentos'!D43="","",'Lançamentos'!D43)</f>
        <v/>
      </c>
      <c r="E44" s="30">
        <f>IF('Lançamentos'!E43="","",'Lançamentos'!E43)</f>
        <v/>
      </c>
    </row>
    <row r="45" ht="15.75" customHeight="1" s="26"/>
    <row r="46" ht="15.75" customHeight="1" s="26">
      <c r="A46" s="31" t="inlineStr">
        <is>
          <t>TOTAL:</t>
        </is>
      </c>
      <c r="B46" s="32">
        <f>SUM('Lançamentos'!F9:F43)&amp;IF(SUM('Lançamentos'!F9:F43)=1," hora"," horas")</f>
        <v/>
      </c>
      <c r="C46" s="33" t="n"/>
      <c r="D46" s="34" t="n"/>
      <c r="E46" s="34" t="n"/>
    </row>
    <row r="47" ht="15.75" customHeight="1" s="26"/>
    <row r="48" ht="15.75" customHeight="1" s="26"/>
    <row r="49" ht="15.75" customHeight="1" s="26"/>
    <row r="50" ht="15.75" customHeight="1" s="26">
      <c r="A50" s="35" t="inlineStr">
        <is>
          <t>* Envio obrigatório até primeiro dia útil do mês posterior as atividades para o e-mail oficial do projeto. O não envio desta ficha devidamente preenchida no prazo estabelecido acarretará a não validação da bolsa.</t>
        </is>
      </c>
    </row>
    <row r="51" ht="15.75" customHeight="1" s="26">
      <c r="A51" s="35" t="inlineStr">
        <is>
          <t>**Estudante, Orientador de Serviço, Preceptor, Tutor, Coordenador de GAT</t>
        </is>
      </c>
    </row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9">
    <mergeCell ref="A50:E50"/>
    <mergeCell ref="D7:E7"/>
    <mergeCell ref="A7:B7"/>
    <mergeCell ref="B46:C46"/>
    <mergeCell ref="A51:E51"/>
    <mergeCell ref="A5:E5"/>
    <mergeCell ref="E1:E3"/>
    <mergeCell ref="A6:E6"/>
    <mergeCell ref="A1:B3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26" min="1" max="1"/>
    <col width="19" customWidth="1" style="26" min="2" max="2"/>
    <col width="14" customWidth="1" style="26" min="3" max="3"/>
    <col width="55" customWidth="1" style="26" min="4" max="4"/>
    <col width="22" customWidth="1" style="26" min="5" max="5"/>
    <col width="12" customWidth="1" style="26" min="6" max="6"/>
  </cols>
  <sheetData>
    <row r="1" ht="25.5" customHeight="1" s="26">
      <c r="A1" s="1" t="inlineStr">
        <is>
          <t>PET-Saúde Clima — Lançamentos</t>
        </is>
      </c>
    </row>
    <row r="3">
      <c r="A3" s="2" t="inlineStr">
        <is>
          <t>Nome</t>
        </is>
      </c>
      <c r="B3" s="3" t="inlineStr">
        <is>
          <t>Felipe Gonçalves Vidal</t>
        </is>
      </c>
    </row>
    <row r="4">
      <c r="A4" s="2" t="inlineStr">
        <is>
          <t>Perfil</t>
        </is>
      </c>
      <c r="B4" s="3" t="inlineStr">
        <is>
          <t>Estudante</t>
        </is>
      </c>
    </row>
    <row r="5">
      <c r="A5" s="2" t="inlineStr">
        <is>
          <t>Nº do GAT</t>
        </is>
      </c>
      <c r="B5" s="3" t="inlineStr">
        <is>
          <t>04</t>
        </is>
      </c>
    </row>
    <row r="6">
      <c r="A6" s="2" t="inlineStr">
        <is>
          <t>Mês/ano</t>
        </is>
      </c>
      <c r="B6" s="3" t="inlineStr">
        <is>
          <t>Setembro/2026</t>
        </is>
      </c>
    </row>
    <row r="8" ht="33.75" customHeight="1" s="26">
      <c r="A8" s="4" t="inlineStr">
        <is>
          <t>Data</t>
        </is>
      </c>
      <c r="B8" s="4" t="inlineStr">
        <is>
          <t>Horário de Chegada</t>
        </is>
      </c>
      <c r="C8" s="4" t="inlineStr">
        <is>
          <t>Saída real</t>
        </is>
      </c>
      <c r="D8" s="4" t="inlineStr">
        <is>
          <t>Atividade</t>
        </is>
      </c>
      <c r="E8" s="4" t="inlineStr">
        <is>
          <t>Assinatura</t>
        </is>
      </c>
      <c r="F8" s="4" t="inlineStr">
        <is>
          <t>Horas PET</t>
        </is>
      </c>
    </row>
    <row r="9" ht="33.75" customHeight="1" s="26">
      <c r="A9" s="36" t="n">
        <v>46273</v>
      </c>
      <c r="B9" s="37" t="n">
        <v>0.7916666666666666</v>
      </c>
      <c r="C9" s="37" t="n">
        <v>0.875</v>
      </c>
      <c r="D9" s="38" t="inlineStr">
        <is>
          <t>Reunião do GAT 04 (Síncrona virtual)</t>
        </is>
      </c>
      <c r="E9" s="38" t="n"/>
      <c r="F9" s="39">
        <f>IF(OR(B9="",C9=""),"",IF(C9=B9,0,CEILING(B9*24+MOD(C9-B9,1)*24,1)-FLOOR(B9*24,1)))</f>
        <v/>
      </c>
    </row>
    <row r="10" ht="33.75" customHeight="1" s="26">
      <c r="A10" s="36" t="n">
        <v>46275</v>
      </c>
      <c r="B10" s="37" t="n">
        <v>0.4166666666666667</v>
      </c>
      <c r="C10" s="37" t="n">
        <v>0.5</v>
      </c>
      <c r="D10" s="38" t="inlineStr">
        <is>
          <t>Oficina formativa: REDCap e construção de instrumentos para pesquisa científica (Síncrona virtual)</t>
        </is>
      </c>
      <c r="E10" s="38" t="n"/>
      <c r="F10" s="39">
        <f>IF(OR(B10="",C10=""),"",IF(C10=B10,0,CEILING(B10*24+MOD(C10-B10,1)*24,1)-FLOOR(B10*24,1)))</f>
        <v/>
      </c>
    </row>
    <row r="11" ht="33.75" customHeight="1" s="26">
      <c r="A11" s="36" t="n">
        <v>46276</v>
      </c>
      <c r="B11" s="37" t="n">
        <v>0.5625</v>
      </c>
      <c r="C11" s="37" t="n">
        <v>0.7291666666666666</v>
      </c>
      <c r="D11" s="38" t="inlineStr">
        <is>
          <t>Reunião geral do PET (Síncrona presencial)</t>
        </is>
      </c>
      <c r="E11" s="38" t="n"/>
      <c r="F11" s="39">
        <f>IF(OR(B11="",C11=""),"",IF(C11=B11,0,CEILING(B11*24+MOD(C11-B11,1)*24,1)-FLOOR(B11*24,1)))</f>
        <v/>
      </c>
    </row>
    <row r="12" ht="33.75" customHeight="1" s="26">
      <c r="A12" s="36" t="n">
        <v>46286</v>
      </c>
      <c r="B12" s="37" t="n">
        <v>0.625</v>
      </c>
      <c r="C12" s="37" t="n">
        <v>0.8055555555555556</v>
      </c>
      <c r="D12" s="38" t="inlineStr">
        <is>
          <t>Oficinas de SUStentabilidade (Síncrona presencial)</t>
        </is>
      </c>
      <c r="E12" s="38" t="n"/>
      <c r="F12" s="39">
        <f>IF(OR(B12="",C12=""),"",IF(C12=B12,0,CEILING(B12*24+MOD(C12-B12,1)*24,1)-FLOOR(B12*24,1)))</f>
        <v/>
      </c>
    </row>
    <row r="13" ht="33.75" customHeight="1" s="26">
      <c r="A13" s="36" t="n">
        <v>46282</v>
      </c>
      <c r="B13" s="37" t="n">
        <v>0.7916666666666666</v>
      </c>
      <c r="C13" s="37" t="n">
        <v>0.8381944444444445</v>
      </c>
      <c r="D13" s="38" t="inlineStr">
        <is>
          <t>Ciclo de Palestra 2026 - Cavernas como arquivo climático: A região Centro-Oeste no holoceno (Síncrona virtual)</t>
        </is>
      </c>
      <c r="E13" s="38" t="n"/>
      <c r="F13" s="39">
        <f>IF(OR(B13="",C13=""),"",IF(C13=B13,0,CEILING(B13*24+MOD(C13-B13,1)*24,1)-FLOOR(B13*24,1)))</f>
        <v/>
      </c>
    </row>
    <row r="14" ht="33.75" customHeight="1" s="26">
      <c r="A14" s="36" t="n">
        <v>46281</v>
      </c>
      <c r="B14" s="37" t="n">
        <v>0.8333333333333334</v>
      </c>
      <c r="C14" s="37" t="n">
        <v>0.89375</v>
      </c>
      <c r="D14" s="38" t="inlineStr">
        <is>
          <t>Conselho Federal de Psicologia - Atuação psicossocial em desastres climáticos e o El Niño (Síncrona virtual)</t>
        </is>
      </c>
      <c r="E14" s="38" t="n"/>
      <c r="F14" s="39">
        <f>IF(OR(B14="",C14=""),"",IF(C14=B14,0,CEILING(B14*24+MOD(C14-B14,1)*24,1)-FLOOR(B14*24,1)))</f>
        <v/>
      </c>
    </row>
    <row r="15" ht="45" customHeight="1" s="26">
      <c r="A15" s="36" t="n">
        <v>46287</v>
      </c>
      <c r="B15" s="37" t="n">
        <v>0.625</v>
      </c>
      <c r="C15" s="37" t="n">
        <v>0.6666666666666666</v>
      </c>
      <c r="D15" s="38" t="inlineStr">
        <is>
          <t>Síntese: Intervenção de Bruna Kitazono na palestra Conselho Federal de Psicologia - Atuação psicossocial em desastres climáticos e o El Niño (Assíncrona virtual)</t>
        </is>
      </c>
      <c r="E15" s="38" t="n"/>
      <c r="F15" s="39">
        <f>IF(OR(B15="",C15=""),"",IF(C15=B15,0,CEILING(B15*24+MOD(C15-B15,1)*24,1)-FLOOR(B15*24,1)))</f>
        <v/>
      </c>
    </row>
    <row r="16">
      <c r="A16" s="36" t="n">
        <v>46287</v>
      </c>
      <c r="B16" s="37" t="n">
        <v>0.7916666666666666</v>
      </c>
      <c r="C16" s="37" t="n">
        <v>0.8611111111111112</v>
      </c>
      <c r="D16" s="38" t="inlineStr">
        <is>
          <t>Reunião do GAT 04 (Síncrona virtual)</t>
        </is>
      </c>
      <c r="E16" s="38" t="n"/>
      <c r="F16" s="39">
        <f>IF(OR(B16="",C16=""),"",IF(C16=B16,0,CEILING(B16*24+MOD(C16-B16,1)*24,1)-FLOOR(B16*24,1)))</f>
        <v/>
      </c>
    </row>
    <row r="17" ht="36" customHeight="1" s="26">
      <c r="A17" s="36" t="n"/>
      <c r="B17" s="37" t="n"/>
      <c r="C17" s="37" t="n"/>
      <c r="D17" s="38" t="n"/>
      <c r="E17" s="38" t="n"/>
      <c r="F17" s="39">
        <f>IF(OR(B17="",C17=""),"",IF(C17=B17,0,CEILING(B17*24+MOD(C17-B17,1)*24,1)-FLOOR(B17*24,1)))</f>
        <v/>
      </c>
    </row>
    <row r="18">
      <c r="A18" s="36" t="n"/>
      <c r="B18" s="37" t="n"/>
      <c r="C18" s="37" t="n"/>
      <c r="D18" s="38" t="n"/>
      <c r="E18" s="38" t="n"/>
      <c r="F18" s="39">
        <f>IF(OR(B18="",C18=""),"",IF(C18=B18,0,CEILING(B18*24+MOD(C18-B18,1)*24,1)-FLOOR(B18*24,1)))</f>
        <v/>
      </c>
    </row>
    <row r="19">
      <c r="A19" s="36" t="n"/>
      <c r="B19" s="37" t="n"/>
      <c r="C19" s="37" t="n"/>
      <c r="D19" s="38" t="n"/>
      <c r="E19" s="38" t="n"/>
      <c r="F19" s="39">
        <f>IF(OR(B19="",C19=""),"",IF(C19=B19,0,CEILING(B19*24+MOD(C19-B19,1)*24,1)-FLOOR(B19*24,1)))</f>
        <v/>
      </c>
    </row>
    <row r="20">
      <c r="A20" s="36" t="n"/>
      <c r="B20" s="37" t="n"/>
      <c r="C20" s="37" t="n"/>
      <c r="D20" s="38" t="n"/>
      <c r="E20" s="38" t="n"/>
      <c r="F20" s="39">
        <f>IF(OR(B20="",C20=""),"",IF(C20=B20,0,CEILING(B20*24+MOD(C20-B20,1)*24,1)-FLOOR(B20*24,1)))</f>
        <v/>
      </c>
    </row>
    <row r="21" ht="15.75" customHeight="1" s="26">
      <c r="A21" s="36" t="n"/>
      <c r="B21" s="37" t="n"/>
      <c r="C21" s="37" t="n"/>
      <c r="D21" s="38" t="n"/>
      <c r="E21" s="38" t="n"/>
      <c r="F21" s="39">
        <f>IF(OR(B21="",C21=""),"",IF(C21=B21,0,CEILING(B21*24+MOD(C21-B21,1)*24,1)-FLOOR(B21*24,1)))</f>
        <v/>
      </c>
    </row>
    <row r="22" ht="15.75" customHeight="1" s="26">
      <c r="A22" s="36" t="n"/>
      <c r="B22" s="37" t="n"/>
      <c r="C22" s="37" t="n"/>
      <c r="D22" s="38" t="n"/>
      <c r="E22" s="38" t="n"/>
      <c r="F22" s="39">
        <f>IF(OR(B22="",C22=""),"",IF(C22=B22,0,CEILING(B22*24+MOD(C22-B22,1)*24,1)-FLOOR(B22*24,1)))</f>
        <v/>
      </c>
    </row>
    <row r="23" ht="15.75" customHeight="1" s="26">
      <c r="A23" s="36" t="n"/>
      <c r="B23" s="37" t="n"/>
      <c r="C23" s="37" t="n"/>
      <c r="D23" s="38" t="n"/>
      <c r="E23" s="38" t="n"/>
      <c r="F23" s="39">
        <f>IF(OR(B23="",C23=""),"",IF(C23=B23,0,CEILING(B23*24+MOD(C23-B23,1)*24,1)-FLOOR(B23*24,1)))</f>
        <v/>
      </c>
    </row>
    <row r="24" ht="15.75" customHeight="1" s="26">
      <c r="A24" s="36" t="n"/>
      <c r="B24" s="37" t="n"/>
      <c r="C24" s="37" t="n"/>
      <c r="D24" s="38" t="n"/>
      <c r="E24" s="38" t="n"/>
      <c r="F24" s="39">
        <f>IF(OR(B24="",C24=""),"",IF(C24=B24,0,CEILING(B24*24+MOD(C24-B24,1)*24,1)-FLOOR(B24*24,1)))</f>
        <v/>
      </c>
    </row>
    <row r="25" ht="15.75" customHeight="1" s="26">
      <c r="A25" s="36" t="n"/>
      <c r="B25" s="37" t="n"/>
      <c r="C25" s="37" t="n"/>
      <c r="D25" s="38" t="n"/>
      <c r="E25" s="38" t="n"/>
      <c r="F25" s="39">
        <f>IF(OR(B25="",C25=""),"",IF(C25=B25,0,CEILING(B25*24+MOD(C25-B25,1)*24,1)-FLOOR(B25*24,1)))</f>
        <v/>
      </c>
    </row>
    <row r="26" ht="15.75" customHeight="1" s="26">
      <c r="A26" s="36" t="n"/>
      <c r="B26" s="37" t="n"/>
      <c r="C26" s="37" t="n"/>
      <c r="D26" s="38" t="n"/>
      <c r="E26" s="38" t="n"/>
      <c r="F26" s="39">
        <f>IF(OR(B26="",C26=""),"",IF(C26=B26,0,CEILING(B26*24+MOD(C26-B26,1)*24,1)-FLOOR(B26*24,1)))</f>
        <v/>
      </c>
    </row>
    <row r="27" ht="15.75" customHeight="1" s="26">
      <c r="A27" s="36" t="n"/>
      <c r="B27" s="37" t="n"/>
      <c r="C27" s="37" t="n"/>
      <c r="D27" s="38" t="n"/>
      <c r="E27" s="38" t="n"/>
      <c r="F27" s="39">
        <f>IF(OR(B27="",C27=""),"",IF(C27=B27,0,CEILING(B27*24+MOD(C27-B27,1)*24,1)-FLOOR(B27*24,1)))</f>
        <v/>
      </c>
    </row>
    <row r="28" ht="15.75" customHeight="1" s="26">
      <c r="A28" s="36" t="n"/>
      <c r="B28" s="37" t="n"/>
      <c r="C28" s="37" t="n"/>
      <c r="D28" s="38" t="n"/>
      <c r="E28" s="38" t="n"/>
      <c r="F28" s="39">
        <f>IF(OR(B28="",C28=""),"",IF(C28=B28,0,CEILING(B28*24+MOD(C28-B28,1)*24,1)-FLOOR(B28*24,1)))</f>
        <v/>
      </c>
    </row>
    <row r="29" ht="15.75" customHeight="1" s="26">
      <c r="A29" s="36" t="n"/>
      <c r="B29" s="37" t="n"/>
      <c r="C29" s="37" t="n"/>
      <c r="D29" s="38" t="n"/>
      <c r="E29" s="38" t="n"/>
      <c r="F29" s="39">
        <f>IF(OR(B29="",C29=""),"",IF(C29=B29,0,CEILING(B29*24+MOD(C29-B29,1)*24,1)-FLOOR(B29*24,1)))</f>
        <v/>
      </c>
    </row>
    <row r="30" ht="15.75" customHeight="1" s="26">
      <c r="A30" s="36" t="n"/>
      <c r="B30" s="37" t="n"/>
      <c r="C30" s="37" t="n"/>
      <c r="D30" s="38" t="n"/>
      <c r="E30" s="38" t="n"/>
      <c r="F30" s="39">
        <f>IF(OR(B30="",C30=""),"",IF(C30=B30,0,CEILING(B30*24+MOD(C30-B30,1)*24,1)-FLOOR(B30*24,1)))</f>
        <v/>
      </c>
    </row>
    <row r="31" ht="15.75" customHeight="1" s="26">
      <c r="A31" s="36" t="n"/>
      <c r="B31" s="37" t="n"/>
      <c r="C31" s="37" t="n"/>
      <c r="D31" s="38" t="n"/>
      <c r="E31" s="38" t="n"/>
      <c r="F31" s="39">
        <f>IF(OR(B31="",C31=""),"",IF(C31=B31,0,CEILING(B31*24+MOD(C31-B31,1)*24,1)-FLOOR(B31*24,1)))</f>
        <v/>
      </c>
    </row>
    <row r="32" ht="15.75" customHeight="1" s="26">
      <c r="A32" s="36" t="n"/>
      <c r="B32" s="37" t="n"/>
      <c r="C32" s="37" t="n"/>
      <c r="D32" s="38" t="n"/>
      <c r="E32" s="38" t="n"/>
      <c r="F32" s="39">
        <f>IF(OR(B32="",C32=""),"",IF(C32=B32,0,CEILING(B32*24+MOD(C32-B32,1)*24,1)-FLOOR(B32*24,1)))</f>
        <v/>
      </c>
    </row>
    <row r="33" ht="15.75" customHeight="1" s="26">
      <c r="A33" s="36" t="n"/>
      <c r="B33" s="37" t="n"/>
      <c r="C33" s="37" t="n"/>
      <c r="D33" s="38" t="n"/>
      <c r="E33" s="38" t="n"/>
      <c r="F33" s="39">
        <f>IF(OR(B33="",C33=""),"",IF(C33=B33,0,CEILING(B33*24+MOD(C33-B33,1)*24,1)-FLOOR(B33*24,1)))</f>
        <v/>
      </c>
    </row>
    <row r="34" ht="15.75" customHeight="1" s="26">
      <c r="A34" s="36" t="n"/>
      <c r="B34" s="37" t="n"/>
      <c r="C34" s="37" t="n"/>
      <c r="D34" s="38" t="n"/>
      <c r="E34" s="38" t="n"/>
      <c r="F34" s="39">
        <f>IF(OR(B34="",C34=""),"",IF(C34=B34,0,CEILING(B34*24+MOD(C34-B34,1)*24,1)-FLOOR(B34*24,1)))</f>
        <v/>
      </c>
    </row>
    <row r="35" ht="15.75" customHeight="1" s="26">
      <c r="A35" s="36" t="n"/>
      <c r="B35" s="37" t="n"/>
      <c r="C35" s="37" t="n"/>
      <c r="D35" s="38" t="n"/>
      <c r="E35" s="38" t="n"/>
      <c r="F35" s="39">
        <f>IF(OR(B35="",C35=""),"",IF(C35=B35,0,CEILING(B35*24+MOD(C35-B35,1)*24,1)-FLOOR(B35*24,1)))</f>
        <v/>
      </c>
    </row>
    <row r="36" ht="15.75" customHeight="1" s="26">
      <c r="A36" s="36" t="n"/>
      <c r="B36" s="37" t="n"/>
      <c r="C36" s="37" t="n"/>
      <c r="D36" s="38" t="n"/>
      <c r="E36" s="38" t="n"/>
      <c r="F36" s="39">
        <f>IF(OR(B36="",C36=""),"",IF(C36=B36,0,CEILING(B36*24+MOD(C36-B36,1)*24,1)-FLOOR(B36*24,1)))</f>
        <v/>
      </c>
    </row>
    <row r="37" ht="15.75" customHeight="1" s="26">
      <c r="A37" s="36" t="n"/>
      <c r="B37" s="37" t="n"/>
      <c r="C37" s="37" t="n"/>
      <c r="D37" s="38" t="n"/>
      <c r="E37" s="38" t="n"/>
      <c r="F37" s="39">
        <f>IF(OR(B37="",C37=""),"",IF(C37=B37,0,CEILING(B37*24+MOD(C37-B37,1)*24,1)-FLOOR(B37*24,1)))</f>
        <v/>
      </c>
    </row>
    <row r="38" ht="15.75" customHeight="1" s="26">
      <c r="A38" s="36" t="n"/>
      <c r="B38" s="37" t="n"/>
      <c r="C38" s="37" t="n"/>
      <c r="D38" s="38" t="n"/>
      <c r="E38" s="38" t="n"/>
      <c r="F38" s="39">
        <f>IF(OR(B38="",C38=""),"",IF(C38=B38,0,CEILING(B38*24+MOD(C38-B38,1)*24,1)-FLOOR(B38*24,1)))</f>
        <v/>
      </c>
    </row>
    <row r="39" ht="15.75" customHeight="1" s="26">
      <c r="A39" s="36" t="n"/>
      <c r="B39" s="37" t="n"/>
      <c r="C39" s="37" t="n"/>
      <c r="D39" s="38" t="n"/>
      <c r="E39" s="38" t="n"/>
      <c r="F39" s="39">
        <f>IF(OR(B39="",C39=""),"",IF(C39=B39,0,CEILING(B39*24+MOD(C39-B39,1)*24,1)-FLOOR(B39*24,1)))</f>
        <v/>
      </c>
    </row>
    <row r="40" ht="15.75" customHeight="1" s="26">
      <c r="A40" s="36" t="n"/>
      <c r="B40" s="37" t="n"/>
      <c r="C40" s="37" t="n"/>
      <c r="D40" s="38" t="n"/>
      <c r="E40" s="38" t="n"/>
      <c r="F40" s="39">
        <f>IF(OR(B40="",C40=""),"",IF(C40=B40,0,CEILING(B40*24+MOD(C40-B40,1)*24,1)-FLOOR(B40*24,1)))</f>
        <v/>
      </c>
    </row>
    <row r="41" ht="15.75" customHeight="1" s="26">
      <c r="A41" s="36" t="n"/>
      <c r="B41" s="37" t="n"/>
      <c r="C41" s="37" t="n"/>
      <c r="D41" s="38" t="n"/>
      <c r="E41" s="38" t="n"/>
      <c r="F41" s="39">
        <f>IF(OR(B41="",C41=""),"",IF(C41=B41,0,CEILING(B41*24+MOD(C41-B41,1)*24,1)-FLOOR(B41*24,1)))</f>
        <v/>
      </c>
    </row>
    <row r="42" ht="15.75" customHeight="1" s="26">
      <c r="A42" s="36" t="n"/>
      <c r="B42" s="37" t="n"/>
      <c r="C42" s="37" t="n"/>
      <c r="D42" s="38" t="n"/>
      <c r="E42" s="38" t="n"/>
      <c r="F42" s="39">
        <f>IF(OR(B42="",C42=""),"",IF(C42=B42,0,CEILING(B42*24+MOD(C42-B42,1)*24,1)-FLOOR(B42*24,1)))</f>
        <v/>
      </c>
    </row>
    <row r="43" ht="15.75" customHeight="1" s="26">
      <c r="A43" s="36" t="n"/>
      <c r="B43" s="37" t="n"/>
      <c r="C43" s="37" t="n"/>
      <c r="D43" s="38" t="n"/>
      <c r="E43" s="38" t="n"/>
      <c r="F43" s="39">
        <f>IF(OR(B43="",C43=""),"",IF(C43=B43,0,CEILING(B43*24+MOD(C43-B43,1)*24,1)-FLOOR(B43*24,1)))</f>
        <v/>
      </c>
    </row>
    <row r="44" ht="15.75" customHeight="1" s="26"/>
    <row r="45" ht="15.75" customHeight="1" s="26">
      <c r="A45" s="40" t="inlineStr">
        <is>
          <t>Preencha esta aba. A folha oficial é atualizada automaticamente. Cada hora do relógio iniciada conta como 1h (ex.: 14:00–15:30 = 2h; 13:30–17:30 = 5h).</t>
        </is>
      </c>
      <c r="F45" s="41">
        <f>SUM(F9:F43)</f>
        <v/>
      </c>
    </row>
    <row r="46" ht="15.75" customHeight="1" s="26"/>
    <row r="47" ht="15.75" customHeight="1" s="26"/>
    <row r="48" ht="15.75" customHeight="1" s="26"/>
    <row r="49" ht="15.75" customHeight="1" s="26"/>
    <row r="50" ht="15.75" customHeight="1" s="26"/>
    <row r="51" ht="15.75" customHeight="1" s="26"/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2">
    <mergeCell ref="A45:E45"/>
    <mergeCell ref="A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2026-09-22T22:04:40Z</dcterms:created>
  <dcterms:modified xmlns:dcterms="http://purl.org/dc/terms/" xmlns:xsi="http://www.w3.org/2001/XMLSchema-instance" xsi:type="dcterms:W3CDTF">2026-09-22T23:29:24Z</dcterms:modified>
</cp:coreProperties>
</file>